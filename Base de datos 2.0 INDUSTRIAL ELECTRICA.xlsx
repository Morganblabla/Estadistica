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ermo\Downloads\"/>
    </mc:Choice>
  </mc:AlternateContent>
  <xr:revisionPtr revIDLastSave="0" documentId="8_{E48BC39A-7D7B-467A-985C-6F4642B44C85}" xr6:coauthVersionLast="47" xr6:coauthVersionMax="47" xr10:uidLastSave="{00000000-0000-0000-0000-000000000000}"/>
  <bookViews>
    <workbookView xWindow="-108" yWindow="-108" windowWidth="23256" windowHeight="12456" xr2:uid="{1C480535-91B4-405C-BFC1-9586E38579A7}"/>
  </bookViews>
  <sheets>
    <sheet name="Hoja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J11" i="1" l="1"/>
  <c r="BA11" i="1"/>
  <c r="AU11" i="1"/>
  <c r="AN11" i="1"/>
  <c r="AC11" i="1"/>
  <c r="V11" i="1"/>
  <c r="AG11" i="1"/>
</calcChain>
</file>

<file path=xl/sharedStrings.xml><?xml version="1.0" encoding="utf-8"?>
<sst xmlns="http://schemas.openxmlformats.org/spreadsheetml/2006/main" count="47" uniqueCount="46">
  <si>
    <t>Sexo</t>
  </si>
  <si>
    <t>Edad</t>
  </si>
  <si>
    <t>Nombre</t>
  </si>
  <si>
    <t>José Ruvalcaba</t>
  </si>
  <si>
    <t>Estado Civil</t>
  </si>
  <si>
    <t>Escolaridad</t>
  </si>
  <si>
    <t>Antigüedad en la empresa</t>
  </si>
  <si>
    <t>40 Años</t>
  </si>
  <si>
    <t>Tiempo en el puesto</t>
  </si>
  <si>
    <t>40 años</t>
  </si>
  <si>
    <t>Puesto desempeñado</t>
  </si>
  <si>
    <t>Departamento/Área a cargo</t>
  </si>
  <si>
    <t>Director General</t>
  </si>
  <si>
    <t>Dirección</t>
  </si>
  <si>
    <t>Número de colaboradores a cargo</t>
  </si>
  <si>
    <t>Nombre de la empresa</t>
  </si>
  <si>
    <t>Industrial Eléctrica Ferretera del Centro S.A de C.V.</t>
  </si>
  <si>
    <t>Dirección de la empresa</t>
  </si>
  <si>
    <t>Calle comercio 55</t>
  </si>
  <si>
    <t>Giro o sector de la empresa</t>
  </si>
  <si>
    <t>Ferrereria/ Comercio</t>
  </si>
  <si>
    <t>Origen de capital</t>
  </si>
  <si>
    <t>Privado</t>
  </si>
  <si>
    <t>Número aproximado de empleados</t>
  </si>
  <si>
    <t>Tiempo de operación de la empresa</t>
  </si>
  <si>
    <t>BASE DE DATOS</t>
  </si>
  <si>
    <t>FECHA DE ENTREGA: 07/11/2025</t>
  </si>
  <si>
    <t>Cervantes Hermosillo Leslie Maeli</t>
  </si>
  <si>
    <t>Macias Báez Luz Valeria</t>
  </si>
  <si>
    <t>S1-S4</t>
  </si>
  <si>
    <t>PROM. DE SELECCIÓN</t>
  </si>
  <si>
    <t>VARIABLE "ROTACIÓN DE PERSONAL"</t>
  </si>
  <si>
    <t xml:space="preserve">PROM. DE CAPACITACIÓN </t>
  </si>
  <si>
    <t>C5-C10</t>
  </si>
  <si>
    <t>CL11-CL13</t>
  </si>
  <si>
    <t>EC14-EC19</t>
  </si>
  <si>
    <t>PROM. CONDICIONES LABORALES</t>
  </si>
  <si>
    <t>PROM. DE PARTE ECONOMICA</t>
  </si>
  <si>
    <t>PROM. DE PARTE EMOCIONAL</t>
  </si>
  <si>
    <t>EM20-EM25</t>
  </si>
  <si>
    <t>VARIABLE "SALARIO"</t>
  </si>
  <si>
    <t>PROM. DE MANEJO DE PERSONAL</t>
  </si>
  <si>
    <t>MP26-MP30</t>
  </si>
  <si>
    <t>MT31-MT38</t>
  </si>
  <si>
    <t>PROM. DE MOTIVACIÓN</t>
  </si>
  <si>
    <t>VARIABLE "LIDERAZGO"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</si>
</sst>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sz val="10"/>
      <color rgb="FF202124"/>
      <name val="Docs-Roboto"/>
    </font>
    <font>
      <sz val="11"/>
      <color rgb="FF202124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horizontal="right"/>
    </xf>
    <xf numFmtId="0" fontId="4" fillId="0" borderId="0" xfId="0" applyFont="1"/>
    <xf numFmtId="2" fontId="0" fillId="0" borderId="0" xfId="0" applyNumberFormat="1"/>
    <xf numFmtId="0" fontId="0" fillId="0" borderId="1" xfId="0" applyBorder="1"/>
    <xf numFmtId="0" fontId="0" fillId="2" borderId="1" xfId="0" applyFill="1" applyBorder="1"/>
    <xf numFmtId="2" fontId="0" fillId="2" borderId="1" xfId="0" applyNumberFormat="1" applyFill="1" applyBorder="1"/>
    <xf numFmtId="0" fontId="0" fillId="0" borderId="1" xfId="0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1D30BA-C6D6-42C8-A91E-AAD49A18B774}">
  <dimension ref="B3:BJ12"/>
  <sheetViews>
    <sheetView tabSelected="1" zoomScale="73" workbookViewId="0">
      <selection activeCell="P33" sqref="P33"/>
    </sheetView>
  </sheetViews>
  <sheetFormatPr baseColWidth="10" defaultRowHeight="14.4"/>
  <cols>
    <col min="2" max="2" width="18.5546875" customWidth="1"/>
    <col min="3" max="3" width="15.88671875" customWidth="1"/>
    <col min="7" max="7" width="24.88671875" customWidth="1"/>
    <col min="8" max="8" width="22.77734375" customWidth="1"/>
    <col min="9" max="9" width="22.21875" customWidth="1"/>
    <col min="10" max="10" width="24.88671875" customWidth="1"/>
    <col min="11" max="11" width="29.5546875" customWidth="1"/>
    <col min="12" max="12" width="44.33203125" customWidth="1"/>
    <col min="13" max="13" width="21.6640625" customWidth="1"/>
    <col min="14" max="14" width="24.5546875" customWidth="1"/>
    <col min="15" max="15" width="15.88671875" customWidth="1"/>
    <col min="16" max="16" width="29.44140625" customWidth="1"/>
    <col min="17" max="17" width="31" customWidth="1"/>
    <col min="22" max="22" width="20.88671875" customWidth="1"/>
    <col min="27" max="27" width="14.44140625" customWidth="1"/>
    <col min="29" max="29" width="23.5546875" customWidth="1"/>
    <col min="31" max="31" width="13.77734375" customWidth="1"/>
    <col min="33" max="33" width="28.21875" customWidth="1"/>
    <col min="38" max="38" width="13.21875" customWidth="1"/>
    <col min="39" max="39" width="11.5546875" customWidth="1"/>
    <col min="40" max="40" width="28.6640625" customWidth="1"/>
    <col min="47" max="47" width="25.44140625" customWidth="1"/>
    <col min="53" max="53" width="29.33203125" customWidth="1"/>
    <col min="62" max="62" width="20.21875" customWidth="1"/>
  </cols>
  <sheetData>
    <row r="3" spans="2:62">
      <c r="B3" t="s">
        <v>25</v>
      </c>
    </row>
    <row r="4" spans="2:62">
      <c r="B4" s="14" t="s">
        <v>16</v>
      </c>
      <c r="C4" s="14"/>
      <c r="D4" s="14"/>
    </row>
    <row r="5" spans="2:62">
      <c r="B5" s="15" t="s">
        <v>26</v>
      </c>
      <c r="C5" s="15"/>
    </row>
    <row r="7" spans="2:62">
      <c r="B7" s="15" t="s">
        <v>27</v>
      </c>
      <c r="C7" s="15"/>
    </row>
    <row r="8" spans="2:62">
      <c r="B8" s="15" t="s">
        <v>28</v>
      </c>
      <c r="C8" s="15"/>
      <c r="R8" s="10" t="s">
        <v>31</v>
      </c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 t="s">
        <v>40</v>
      </c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 t="s">
        <v>45</v>
      </c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</row>
    <row r="9" spans="2:62">
      <c r="R9" s="11" t="s">
        <v>29</v>
      </c>
      <c r="S9" s="12"/>
      <c r="T9" s="12"/>
      <c r="U9" s="12"/>
      <c r="V9" s="13"/>
      <c r="W9" s="9" t="s">
        <v>33</v>
      </c>
      <c r="X9" s="9"/>
      <c r="Y9" s="9"/>
      <c r="Z9" s="9"/>
      <c r="AA9" s="9"/>
      <c r="AB9" s="9"/>
      <c r="AC9" s="9"/>
      <c r="AD9" s="11" t="s">
        <v>34</v>
      </c>
      <c r="AE9" s="12"/>
      <c r="AF9" s="12"/>
      <c r="AG9" s="13"/>
      <c r="AH9" s="11" t="s">
        <v>35</v>
      </c>
      <c r="AI9" s="12"/>
      <c r="AJ9" s="12"/>
      <c r="AK9" s="12"/>
      <c r="AL9" s="12"/>
      <c r="AM9" s="12"/>
      <c r="AN9" s="13"/>
      <c r="AO9" s="9" t="s">
        <v>39</v>
      </c>
      <c r="AP9" s="9"/>
      <c r="AQ9" s="9"/>
      <c r="AR9" s="9"/>
      <c r="AS9" s="9"/>
      <c r="AT9" s="9"/>
      <c r="AU9" s="9"/>
      <c r="AV9" s="9" t="s">
        <v>42</v>
      </c>
      <c r="AW9" s="9"/>
      <c r="AX9" s="9"/>
      <c r="AY9" s="9"/>
      <c r="AZ9" s="9"/>
      <c r="BA9" s="9"/>
      <c r="BB9" s="9" t="s">
        <v>43</v>
      </c>
      <c r="BC9" s="9"/>
      <c r="BD9" s="9"/>
      <c r="BE9" s="9"/>
      <c r="BF9" s="9"/>
      <c r="BG9" s="9"/>
      <c r="BH9" s="9"/>
      <c r="BI9" s="9"/>
      <c r="BJ9" s="9"/>
    </row>
    <row r="10" spans="2:62">
      <c r="B10" s="1" t="s">
        <v>2</v>
      </c>
      <c r="C10" s="1" t="s">
        <v>0</v>
      </c>
      <c r="D10" s="1" t="s">
        <v>1</v>
      </c>
      <c r="E10" s="1" t="s">
        <v>4</v>
      </c>
      <c r="F10" s="1" t="s">
        <v>5</v>
      </c>
      <c r="G10" s="2" t="s">
        <v>6</v>
      </c>
      <c r="H10" s="1" t="s">
        <v>8</v>
      </c>
      <c r="I10" s="2" t="s">
        <v>10</v>
      </c>
      <c r="J10" s="2" t="s">
        <v>11</v>
      </c>
      <c r="K10" t="s">
        <v>14</v>
      </c>
      <c r="L10" s="2" t="s">
        <v>15</v>
      </c>
      <c r="M10" s="2" t="s">
        <v>17</v>
      </c>
      <c r="N10" s="2" t="s">
        <v>19</v>
      </c>
      <c r="O10" s="2" t="s">
        <v>21</v>
      </c>
      <c r="P10" s="2" t="s">
        <v>23</v>
      </c>
      <c r="Q10" s="2" t="s">
        <v>24</v>
      </c>
      <c r="R10" s="6">
        <v>17</v>
      </c>
      <c r="S10" s="6">
        <v>18</v>
      </c>
      <c r="T10" s="6">
        <v>19</v>
      </c>
      <c r="U10" s="6">
        <v>20</v>
      </c>
      <c r="V10" s="6" t="s">
        <v>30</v>
      </c>
      <c r="W10" s="6">
        <v>21</v>
      </c>
      <c r="X10" s="6">
        <v>22</v>
      </c>
      <c r="Y10" s="6">
        <v>23</v>
      </c>
      <c r="Z10" s="6">
        <v>24</v>
      </c>
      <c r="AA10" s="6">
        <v>25</v>
      </c>
      <c r="AB10" s="6">
        <v>26</v>
      </c>
      <c r="AC10" s="6" t="s">
        <v>32</v>
      </c>
      <c r="AD10" s="6">
        <v>27</v>
      </c>
      <c r="AE10" s="6">
        <v>28</v>
      </c>
      <c r="AF10" s="6">
        <v>29</v>
      </c>
      <c r="AG10" s="6" t="s">
        <v>36</v>
      </c>
      <c r="AH10" s="6">
        <v>30</v>
      </c>
      <c r="AI10" s="6">
        <v>31</v>
      </c>
      <c r="AJ10" s="6">
        <v>32</v>
      </c>
      <c r="AK10" s="6">
        <v>33</v>
      </c>
      <c r="AL10" s="6">
        <v>34</v>
      </c>
      <c r="AM10" s="6">
        <v>35</v>
      </c>
      <c r="AN10" s="6" t="s">
        <v>37</v>
      </c>
      <c r="AO10" s="6">
        <v>36</v>
      </c>
      <c r="AP10" s="6">
        <v>37</v>
      </c>
      <c r="AQ10" s="6">
        <v>38</v>
      </c>
      <c r="AR10" s="6">
        <v>39</v>
      </c>
      <c r="AS10" s="6">
        <v>40</v>
      </c>
      <c r="AT10" s="6">
        <v>41</v>
      </c>
      <c r="AU10" s="6" t="s">
        <v>38</v>
      </c>
      <c r="AV10" s="6">
        <v>42</v>
      </c>
      <c r="AW10" s="6">
        <v>43</v>
      </c>
      <c r="AX10" s="6">
        <v>44</v>
      </c>
      <c r="AY10" s="6">
        <v>45</v>
      </c>
      <c r="AZ10" s="6">
        <v>46</v>
      </c>
      <c r="BA10" s="6" t="s">
        <v>41</v>
      </c>
      <c r="BB10" s="6">
        <v>47</v>
      </c>
      <c r="BC10" s="6">
        <v>48</v>
      </c>
      <c r="BD10" s="6">
        <v>49</v>
      </c>
      <c r="BE10" s="6">
        <v>50</v>
      </c>
      <c r="BF10" s="6">
        <v>51</v>
      </c>
      <c r="BG10" s="6">
        <v>52</v>
      </c>
      <c r="BH10" s="6">
        <v>53</v>
      </c>
      <c r="BI10" s="6">
        <v>54</v>
      </c>
      <c r="BJ10" s="6" t="s">
        <v>44</v>
      </c>
    </row>
    <row r="11" spans="2:62">
      <c r="B11" t="s">
        <v>3</v>
      </c>
      <c r="C11">
        <v>2</v>
      </c>
      <c r="D11">
        <v>70</v>
      </c>
      <c r="E11">
        <v>2</v>
      </c>
      <c r="F11">
        <v>4</v>
      </c>
      <c r="G11" s="3" t="s">
        <v>7</v>
      </c>
      <c r="H11" s="3" t="s">
        <v>9</v>
      </c>
      <c r="I11" t="s">
        <v>12</v>
      </c>
      <c r="J11" t="s">
        <v>13</v>
      </c>
      <c r="K11">
        <v>1</v>
      </c>
      <c r="L11" s="4" t="s">
        <v>16</v>
      </c>
      <c r="M11" t="s">
        <v>18</v>
      </c>
      <c r="N11" t="s">
        <v>20</v>
      </c>
      <c r="O11" t="s">
        <v>22</v>
      </c>
      <c r="P11">
        <v>1</v>
      </c>
      <c r="Q11">
        <v>4</v>
      </c>
      <c r="R11" s="6">
        <v>2</v>
      </c>
      <c r="S11" s="6">
        <v>2</v>
      </c>
      <c r="T11" s="6">
        <v>2</v>
      </c>
      <c r="U11" s="6">
        <v>2</v>
      </c>
      <c r="V11" s="7">
        <f>SUM(R11:U11)/4</f>
        <v>2</v>
      </c>
      <c r="W11" s="6">
        <v>4</v>
      </c>
      <c r="X11" s="6">
        <v>2</v>
      </c>
      <c r="Y11" s="6">
        <v>4</v>
      </c>
      <c r="Z11" s="6">
        <v>4</v>
      </c>
      <c r="AA11" s="6">
        <v>3</v>
      </c>
      <c r="AB11" s="6">
        <v>5</v>
      </c>
      <c r="AC11" s="8">
        <f>SUM(W11:AB11)/6</f>
        <v>3.6666666666666665</v>
      </c>
      <c r="AD11" s="6">
        <v>2</v>
      </c>
      <c r="AE11" s="6">
        <v>2</v>
      </c>
      <c r="AF11" s="6">
        <v>2</v>
      </c>
      <c r="AG11" s="7">
        <f>SUM(AD11:AF11)/3</f>
        <v>2</v>
      </c>
      <c r="AH11" s="6">
        <v>2</v>
      </c>
      <c r="AI11" s="6">
        <v>3</v>
      </c>
      <c r="AJ11" s="6">
        <v>3</v>
      </c>
      <c r="AK11" s="6">
        <v>3</v>
      </c>
      <c r="AL11" s="6">
        <v>2</v>
      </c>
      <c r="AM11" s="6">
        <v>3</v>
      </c>
      <c r="AN11" s="8">
        <f>SUM(AH11:AM11)/6</f>
        <v>2.6666666666666665</v>
      </c>
      <c r="AO11" s="6">
        <v>2</v>
      </c>
      <c r="AP11" s="6">
        <v>2</v>
      </c>
      <c r="AQ11" s="6">
        <v>2</v>
      </c>
      <c r="AR11" s="6">
        <v>3</v>
      </c>
      <c r="AS11" s="6">
        <v>3</v>
      </c>
      <c r="AT11" s="6">
        <v>4</v>
      </c>
      <c r="AU11" s="8">
        <f>SUM(AO11:AT11)/6</f>
        <v>2.6666666666666665</v>
      </c>
      <c r="AV11" s="6">
        <v>2</v>
      </c>
      <c r="AW11" s="6">
        <v>2</v>
      </c>
      <c r="AX11" s="6">
        <v>2</v>
      </c>
      <c r="AY11" s="6">
        <v>2</v>
      </c>
      <c r="AZ11" s="6">
        <v>2</v>
      </c>
      <c r="BA11" s="7">
        <f>SUM(AV11:AZ11)/5</f>
        <v>2</v>
      </c>
      <c r="BB11" s="6">
        <v>2</v>
      </c>
      <c r="BC11" s="6">
        <v>2</v>
      </c>
      <c r="BD11" s="6">
        <v>2</v>
      </c>
      <c r="BE11" s="6">
        <v>2</v>
      </c>
      <c r="BF11" s="6">
        <v>2</v>
      </c>
      <c r="BG11" s="6">
        <v>2</v>
      </c>
      <c r="BH11" s="6">
        <v>2</v>
      </c>
      <c r="BI11" s="6">
        <v>2</v>
      </c>
      <c r="BJ11" s="7">
        <f>SUM(BB11:BI11)/8</f>
        <v>2</v>
      </c>
    </row>
    <row r="12" spans="2:62">
      <c r="AB12" s="5"/>
      <c r="AC12" s="5"/>
      <c r="AM12" s="5"/>
      <c r="AN12" s="5"/>
    </row>
  </sheetData>
  <mergeCells count="14">
    <mergeCell ref="W9:AC9"/>
    <mergeCell ref="AD9:AG9"/>
    <mergeCell ref="R9:V9"/>
    <mergeCell ref="B4:D4"/>
    <mergeCell ref="B5:C5"/>
    <mergeCell ref="B7:C7"/>
    <mergeCell ref="B8:C8"/>
    <mergeCell ref="R8:AG8"/>
    <mergeCell ref="AV9:BA9"/>
    <mergeCell ref="BB9:BJ9"/>
    <mergeCell ref="AV8:BJ8"/>
    <mergeCell ref="AO9:AU9"/>
    <mergeCell ref="AH8:AU8"/>
    <mergeCell ref="AH9:AN9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30399EE9150264DB057145744883DB6" ma:contentTypeVersion="9" ma:contentTypeDescription="Crear nuevo documento." ma:contentTypeScope="" ma:versionID="240d583ec14a649ff6523fe3c5904d7a">
  <xsd:schema xmlns:xsd="http://www.w3.org/2001/XMLSchema" xmlns:xs="http://www.w3.org/2001/XMLSchema" xmlns:p="http://schemas.microsoft.com/office/2006/metadata/properties" xmlns:ns3="724573fe-6907-4cb9-a3d4-d07ad123732c" targetNamespace="http://schemas.microsoft.com/office/2006/metadata/properties" ma:root="true" ma:fieldsID="d008a3063084e05a9480e1de2a35c6f8" ns3:_="">
    <xsd:import namespace="724573fe-6907-4cb9-a3d4-d07ad123732c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_activity" minOccurs="0"/>
                <xsd:element ref="ns3:MediaServiceDateTaken" minOccurs="0"/>
                <xsd:element ref="ns3:MediaServiceSystemTags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4573fe-6907-4cb9-a3d4-d07ad12373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4573fe-6907-4cb9-a3d4-d07ad123732c" xsi:nil="true"/>
  </documentManagement>
</p:properties>
</file>

<file path=customXml/itemProps1.xml><?xml version="1.0" encoding="utf-8"?>
<ds:datastoreItem xmlns:ds="http://schemas.openxmlformats.org/officeDocument/2006/customXml" ds:itemID="{07FEB380-26B9-4809-869E-B5E789CE9A6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24573fe-6907-4cb9-a3d4-d07ad12373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23DF448-2C8C-4AFA-AB7E-ED3863177F65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15273D6C-A377-4300-A5B1-27DD84D905E6}">
  <ds:schemaRefs>
    <ds:schemaRef ds:uri="http://purl.org/dc/elements/1.1/"/>
    <ds:schemaRef ds:uri="http://schemas.openxmlformats.org/package/2006/metadata/core-properties"/>
    <ds:schemaRef ds:uri="http://purl.org/dc/terms/"/>
    <ds:schemaRef ds:uri="http://purl.org/dc/dcmitype/"/>
    <ds:schemaRef ds:uri="http://www.w3.org/XML/1998/namespace"/>
    <ds:schemaRef ds:uri="http://schemas.microsoft.com/office/2006/documentManagement/types"/>
    <ds:schemaRef ds:uri="724573fe-6907-4cb9-a3d4-d07ad123732c"/>
    <ds:schemaRef ds:uri="http://schemas.microsoft.com/office/infopath/2007/PartnerControls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LESLIE MAELI CERVANTES HERMOSILLO</dc:creator>
  <cp:lastModifiedBy>Leslie Hermosillo</cp:lastModifiedBy>
  <cp:lastPrinted>2025-11-08T05:24:03Z</cp:lastPrinted>
  <dcterms:created xsi:type="dcterms:W3CDTF">2025-11-08T04:13:56Z</dcterms:created>
  <dcterms:modified xsi:type="dcterms:W3CDTF">2025-11-12T00:03:57Z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0x010100830399EE9150264DB057145744883DB6</vt:lpwstr>
  </property>
</Properties>
</file>