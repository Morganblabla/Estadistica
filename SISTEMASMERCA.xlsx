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mMo\Downloads\"/>
    </mc:Choice>
  </mc:AlternateContent>
  <xr:revisionPtr revIDLastSave="0" documentId="8_{7B7F65FA-CB22-44D1-A704-25E22C3DFC4F}" xr6:coauthVersionLast="47" xr6:coauthVersionMax="47" xr10:uidLastSave="{00000000-0000-0000-0000-000000000000}"/>
  <bookViews>
    <workbookView xWindow="-108" yWindow="-108" windowWidth="23256" windowHeight="12456" xr2:uid="{1C480535-91B4-405C-BFC1-9586E38579A7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4" i="2" l="1"/>
  <c r="AJ4" i="2"/>
  <c r="AD4" i="2"/>
  <c r="W4" i="2"/>
  <c r="P4" i="2"/>
  <c r="L4" i="2"/>
  <c r="E4" i="2"/>
</calcChain>
</file>

<file path=xl/sharedStrings.xml><?xml version="1.0" encoding="utf-8"?>
<sst xmlns="http://schemas.openxmlformats.org/spreadsheetml/2006/main" count="17" uniqueCount="17">
  <si>
    <t>S1-S4</t>
  </si>
  <si>
    <t>PROM. DE SELECCIÓN</t>
  </si>
  <si>
    <t>VARIABLE "ROTACIÓN DE PERSONAL"</t>
  </si>
  <si>
    <t xml:space="preserve">PROM. DE CAPACITACIÓN </t>
  </si>
  <si>
    <t>C5-C10</t>
  </si>
  <si>
    <t>CL11-CL13</t>
  </si>
  <si>
    <t>EC14-EC19</t>
  </si>
  <si>
    <t>PROM. CONDICIONES LABORALES</t>
  </si>
  <si>
    <t>PROM. DE PARTE ECONOMICA</t>
  </si>
  <si>
    <t>PROM. DE PARTE EMOCIONAL</t>
  </si>
  <si>
    <t>EM20-EM25</t>
  </si>
  <si>
    <t>VARIABLE "SALARIO"</t>
  </si>
  <si>
    <t>PROM. DE MANEJO DE PERSONAL</t>
  </si>
  <si>
    <t>MP26-MP30</t>
  </si>
  <si>
    <t>MT31-MT38</t>
  </si>
  <si>
    <t>PROM. DE MOTIVACIÓN</t>
  </si>
  <si>
    <t>VARIABLE "LIDERAZGO"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</si>
</sst>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2" fontId="0" fillId="2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A38A7-0FBE-4A5C-8687-FA3DCE33590B}">
  <dimension ref="A1:AS4"/>
  <sheetViews>
    <sheetView tabSelected="1" workbookViewId="0">
      <selection activeCell="G18" sqref="G18"/>
    </sheetView>
  </sheetViews>
  <sheetFormatPr baseColWidth="10" defaultRowHeight="14.4" x14ac:dyDescent="0.3"/>
  <sheetData>
    <row r="1" spans="1:45" x14ac:dyDescent="0.3">
      <c r="A1" s="8" t="s">
        <v>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 t="s">
        <v>11</v>
      </c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 t="s">
        <v>16</v>
      </c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</row>
    <row r="2" spans="1:45" x14ac:dyDescent="0.3">
      <c r="A2" s="5" t="s">
        <v>0</v>
      </c>
      <c r="B2" s="6"/>
      <c r="C2" s="6"/>
      <c r="D2" s="6"/>
      <c r="E2" s="7"/>
      <c r="F2" s="4" t="s">
        <v>4</v>
      </c>
      <c r="G2" s="4"/>
      <c r="H2" s="4"/>
      <c r="I2" s="4"/>
      <c r="J2" s="4"/>
      <c r="K2" s="4"/>
      <c r="L2" s="4"/>
      <c r="M2" s="5" t="s">
        <v>5</v>
      </c>
      <c r="N2" s="6"/>
      <c r="O2" s="6"/>
      <c r="P2" s="7"/>
      <c r="Q2" s="5" t="s">
        <v>6</v>
      </c>
      <c r="R2" s="6"/>
      <c r="S2" s="6"/>
      <c r="T2" s="6"/>
      <c r="U2" s="6"/>
      <c r="V2" s="6"/>
      <c r="W2" s="7"/>
      <c r="X2" s="4" t="s">
        <v>10</v>
      </c>
      <c r="Y2" s="4"/>
      <c r="Z2" s="4"/>
      <c r="AA2" s="4"/>
      <c r="AB2" s="4"/>
      <c r="AC2" s="4"/>
      <c r="AD2" s="4"/>
      <c r="AE2" s="4" t="s">
        <v>13</v>
      </c>
      <c r="AF2" s="4"/>
      <c r="AG2" s="4"/>
      <c r="AH2" s="4"/>
      <c r="AI2" s="4"/>
      <c r="AJ2" s="4"/>
      <c r="AK2" s="4" t="s">
        <v>14</v>
      </c>
      <c r="AL2" s="4"/>
      <c r="AM2" s="4"/>
      <c r="AN2" s="4"/>
      <c r="AO2" s="4"/>
      <c r="AP2" s="4"/>
      <c r="AQ2" s="4"/>
      <c r="AR2" s="4"/>
      <c r="AS2" s="4"/>
    </row>
    <row r="3" spans="1:45" x14ac:dyDescent="0.3">
      <c r="A3" s="1">
        <v>17</v>
      </c>
      <c r="B3" s="1">
        <v>18</v>
      </c>
      <c r="C3" s="1">
        <v>19</v>
      </c>
      <c r="D3" s="1">
        <v>20</v>
      </c>
      <c r="E3" s="1" t="s">
        <v>1</v>
      </c>
      <c r="F3" s="1">
        <v>21</v>
      </c>
      <c r="G3" s="1">
        <v>22</v>
      </c>
      <c r="H3" s="1">
        <v>23</v>
      </c>
      <c r="I3" s="1">
        <v>24</v>
      </c>
      <c r="J3" s="1">
        <v>25</v>
      </c>
      <c r="K3" s="1">
        <v>26</v>
      </c>
      <c r="L3" s="1" t="s">
        <v>3</v>
      </c>
      <c r="M3" s="1">
        <v>27</v>
      </c>
      <c r="N3" s="1">
        <v>28</v>
      </c>
      <c r="O3" s="1">
        <v>29</v>
      </c>
      <c r="P3" s="1" t="s">
        <v>7</v>
      </c>
      <c r="Q3" s="1">
        <v>30</v>
      </c>
      <c r="R3" s="1">
        <v>31</v>
      </c>
      <c r="S3" s="1">
        <v>32</v>
      </c>
      <c r="T3" s="1">
        <v>33</v>
      </c>
      <c r="U3" s="1">
        <v>34</v>
      </c>
      <c r="V3" s="1">
        <v>35</v>
      </c>
      <c r="W3" s="1" t="s">
        <v>8</v>
      </c>
      <c r="X3" s="1">
        <v>36</v>
      </c>
      <c r="Y3" s="1">
        <v>37</v>
      </c>
      <c r="Z3" s="1">
        <v>38</v>
      </c>
      <c r="AA3" s="1">
        <v>39</v>
      </c>
      <c r="AB3" s="1">
        <v>40</v>
      </c>
      <c r="AC3" s="1">
        <v>41</v>
      </c>
      <c r="AD3" s="1" t="s">
        <v>9</v>
      </c>
      <c r="AE3" s="1">
        <v>42</v>
      </c>
      <c r="AF3" s="1">
        <v>43</v>
      </c>
      <c r="AG3" s="1">
        <v>44</v>
      </c>
      <c r="AH3" s="1">
        <v>45</v>
      </c>
      <c r="AI3" s="1">
        <v>46</v>
      </c>
      <c r="AJ3" s="1" t="s">
        <v>12</v>
      </c>
      <c r="AK3" s="1">
        <v>47</v>
      </c>
      <c r="AL3" s="1">
        <v>48</v>
      </c>
      <c r="AM3" s="1">
        <v>49</v>
      </c>
      <c r="AN3" s="1">
        <v>50</v>
      </c>
      <c r="AO3" s="1">
        <v>51</v>
      </c>
      <c r="AP3" s="1">
        <v>52</v>
      </c>
      <c r="AQ3" s="1">
        <v>53</v>
      </c>
      <c r="AR3" s="1">
        <v>54</v>
      </c>
      <c r="AS3" s="1" t="s">
        <v>15</v>
      </c>
    </row>
    <row r="4" spans="1:45" x14ac:dyDescent="0.3">
      <c r="A4" s="1">
        <v>2</v>
      </c>
      <c r="B4" s="1">
        <v>2</v>
      </c>
      <c r="C4" s="1">
        <v>2</v>
      </c>
      <c r="D4" s="1">
        <v>2</v>
      </c>
      <c r="E4" s="2">
        <f>SUM(A4:D4)/4</f>
        <v>2</v>
      </c>
      <c r="F4" s="1">
        <v>4</v>
      </c>
      <c r="G4" s="1">
        <v>2</v>
      </c>
      <c r="H4" s="1">
        <v>4</v>
      </c>
      <c r="I4" s="1">
        <v>4</v>
      </c>
      <c r="J4" s="1">
        <v>3</v>
      </c>
      <c r="K4" s="1">
        <v>5</v>
      </c>
      <c r="L4" s="3">
        <f>SUM(F4:K4)/6</f>
        <v>3.6666666666666665</v>
      </c>
      <c r="M4" s="1">
        <v>2</v>
      </c>
      <c r="N4" s="1">
        <v>2</v>
      </c>
      <c r="O4" s="1">
        <v>2</v>
      </c>
      <c r="P4" s="2">
        <f>SUM(M4:O4)/3</f>
        <v>2</v>
      </c>
      <c r="Q4" s="1">
        <v>2</v>
      </c>
      <c r="R4" s="1">
        <v>3</v>
      </c>
      <c r="S4" s="1">
        <v>3</v>
      </c>
      <c r="T4" s="1">
        <v>3</v>
      </c>
      <c r="U4" s="1">
        <v>2</v>
      </c>
      <c r="V4" s="1">
        <v>3</v>
      </c>
      <c r="W4" s="3">
        <f>SUM(Q4:V4)/6</f>
        <v>2.6666666666666665</v>
      </c>
      <c r="X4" s="1">
        <v>2</v>
      </c>
      <c r="Y4" s="1">
        <v>2</v>
      </c>
      <c r="Z4" s="1">
        <v>2</v>
      </c>
      <c r="AA4" s="1">
        <v>3</v>
      </c>
      <c r="AB4" s="1">
        <v>3</v>
      </c>
      <c r="AC4" s="1">
        <v>4</v>
      </c>
      <c r="AD4" s="3">
        <f>SUM(X4:AC4)/6</f>
        <v>2.6666666666666665</v>
      </c>
      <c r="AE4" s="1">
        <v>2</v>
      </c>
      <c r="AF4" s="1">
        <v>2</v>
      </c>
      <c r="AG4" s="1">
        <v>2</v>
      </c>
      <c r="AH4" s="1">
        <v>2</v>
      </c>
      <c r="AI4" s="1">
        <v>2</v>
      </c>
      <c r="AJ4" s="2">
        <f>SUM(AE4:AI4)/5</f>
        <v>2</v>
      </c>
      <c r="AK4" s="1">
        <v>2</v>
      </c>
      <c r="AL4" s="1">
        <v>2</v>
      </c>
      <c r="AM4" s="1">
        <v>2</v>
      </c>
      <c r="AN4" s="1">
        <v>2</v>
      </c>
      <c r="AO4" s="1">
        <v>2</v>
      </c>
      <c r="AP4" s="1">
        <v>2</v>
      </c>
      <c r="AQ4" s="1">
        <v>2</v>
      </c>
      <c r="AR4" s="1">
        <v>2</v>
      </c>
      <c r="AS4" s="2">
        <f>SUM(AK4:AR4)/8</f>
        <v>2</v>
      </c>
    </row>
  </sheetData>
  <mergeCells count="10">
    <mergeCell ref="A1:P1"/>
    <mergeCell ref="Q1:AD1"/>
    <mergeCell ref="AE1:AS1"/>
    <mergeCell ref="A2:E2"/>
    <mergeCell ref="F2:L2"/>
    <mergeCell ref="M2:P2"/>
    <mergeCell ref="Q2:W2"/>
    <mergeCell ref="X2:AD2"/>
    <mergeCell ref="AE2:AJ2"/>
    <mergeCell ref="AK2:AS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0399EE9150264DB057145744883DB6" ma:contentTypeVersion="9" ma:contentTypeDescription="Crear nuevo documento." ma:contentTypeScope="" ma:versionID="240d583ec14a649ff6523fe3c5904d7a">
  <xsd:schema xmlns:xsd="http://www.w3.org/2001/XMLSchema" xmlns:xs="http://www.w3.org/2001/XMLSchema" xmlns:p="http://schemas.microsoft.com/office/2006/metadata/properties" xmlns:ns3="724573fe-6907-4cb9-a3d4-d07ad123732c" targetNamespace="http://schemas.microsoft.com/office/2006/metadata/properties" ma:root="true" ma:fieldsID="d008a3063084e05a9480e1de2a35c6f8" ns3:_="">
    <xsd:import namespace="724573fe-6907-4cb9-a3d4-d07ad12373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4573fe-6907-4cb9-a3d4-d07ad1237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4573fe-6907-4cb9-a3d4-d07ad123732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FEB380-26B9-4809-869E-B5E789CE9A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4573fe-6907-4cb9-a3d4-d07ad12373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273D6C-A377-4300-A5B1-27DD84D905E6}">
  <ds:schemaRefs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724573fe-6907-4cb9-a3d4-d07ad123732c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23DF448-2C8C-4AFA-AB7E-ED3863177F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MAELI CERVANTES HERMOSILLO</dc:creator>
  <cp:lastModifiedBy>morgan jimenez</cp:lastModifiedBy>
  <cp:lastPrinted>2025-11-08T05:24:03Z</cp:lastPrinted>
  <dcterms:created xsi:type="dcterms:W3CDTF">2025-11-08T04:13:56Z</dcterms:created>
  <dcterms:modified xsi:type="dcterms:W3CDTF">2025-11-12T14:36:23Z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0x010100830399EE9150264DB057145744883DB6</vt:lpwstr>
  </property>
</Properties>
</file>